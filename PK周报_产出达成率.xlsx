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周PK数据" sheetId="1" r:id="rId1"/>
    <sheet name="每日明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<sst xmlns="http://schemas.openxmlformats.org/spreadsheetml/2006/main" count="65" uniqueCount="61">
  <si>
    <t>周次</t>
  </si>
  <si>
    <t>日期范围</t>
  </si>
  <si>
    <t>PRO1目标</t>
  </si>
  <si>
    <t>PRO1实际</t>
  </si>
  <si>
    <t>PRO1达成率</t>
  </si>
  <si>
    <t>PRO1出勤天数</t>
  </si>
  <si>
    <t>PRO2目标</t>
  </si>
  <si>
    <t>PRO2实际</t>
  </si>
  <si>
    <t>PRO2达成率</t>
  </si>
  <si>
    <t>PRO2出勤天数</t>
  </si>
  <si>
    <t>PK胜方</t>
  </si>
  <si>
    <t>W23 (06/01-06/07)</t>
  </si>
  <si>
    <t>2026-06-01 ~ 2026-06-07</t>
  </si>
  <si>
    <t>W24 (06/08-06/14)</t>
  </si>
  <si>
    <t>2026-06-08 ~ 2026-06-14</t>
  </si>
  <si>
    <t>W25 (06/15-06/21)</t>
  </si>
  <si>
    <t>2026-06-15 ~ 2026-06-21</t>
  </si>
  <si>
    <t>W26 (06/22-06/30)</t>
  </si>
  <si>
    <t>2026-06-22 ~ 2026-06-30</t>
  </si>
  <si>
    <t>📊 全月合计</t>
  </si>
  <si>
    <t>日期</t>
  </si>
  <si>
    <t>PRO1_H白班</t>
  </si>
  <si>
    <t>PRO1_H夜班</t>
  </si>
  <si>
    <t>PRO1_S白班</t>
  </si>
  <si>
    <t>PRO1_S夜班</t>
  </si>
  <si>
    <t>PRO1合计</t>
  </si>
  <si>
    <t>PRO2_A线</t>
  </si>
  <si>
    <t>PRO2_B线</t>
  </si>
  <si>
    <t>PRO2_C线</t>
  </si>
  <si>
    <t>PRO2_D线</t>
  </si>
  <si>
    <t>PRO2合计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</si>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</sst>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8">
    <font>
      <sz val="11"/>
      <color theme="1"/>
      <name val="宋体"/>
      <charset val="134"/>
      <scheme val="minor"/>
    </font>
    <font>
      <b/>
      <sz val="11"/>
      <color rgb="FFFFFFFF"/>
      <name val="Arial"/>
      <charset val="134"/>
    </font>
    <font>
      <b/>
      <sz val="11"/>
      <color rgb="FFFFFFFF"/>
      <name val="微软雅黑"/>
      <charset val="134"/>
    </font>
    <font>
      <sz val="11"/>
      <color theme="1"/>
      <name val="微软雅黑"/>
      <charset val="134"/>
    </font>
    <font>
      <b/>
      <sz val="11"/>
      <name val="微软雅黑"/>
      <charset val="134"/>
    </font>
    <font>
      <b/>
      <sz val="11"/>
      <color rgb="FF2B579A"/>
      <name val="微软雅黑"/>
      <charset val="134"/>
    </font>
    <font>
      <b/>
      <sz val="11"/>
      <color rgb="FFB91C1C"/>
      <name val="微软雅黑"/>
      <charset val="134"/>
    </font>
    <font>
      <b/>
      <sz val="12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B579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0F4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2B579A"/>
      </top>
      <bottom style="medium">
        <color rgb="FF2B579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8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3" fontId="0" fillId="3" borderId="1" xfId="0" applyNumberFormat="1" applyFill="1" applyBorder="1"/>
    <xf numFmtId="176" fontId="0" fillId="3" borderId="1" xfId="0" applyNumberFormat="1" applyFill="1" applyBorder="1"/>
    <xf numFmtId="0" fontId="0" fillId="0" borderId="1" xfId="0" applyBorder="1" applyAlignment="1">
      <alignment horizontal="center" vertical="center"/>
    </xf>
    <xf numFmtId="3" fontId="0" fillId="0" borderId="1" xfId="0" applyNumberFormat="1" applyBorder="1"/>
    <xf numFmtId="176" fontId="0" fillId="0" borderId="1" xfId="0" applyNumberFormat="1" applyBorder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3" fontId="4" fillId="4" borderId="2" xfId="0" applyNumberFormat="1" applyFont="1" applyFill="1" applyBorder="1" applyAlignment="1">
      <alignment horizontal="center" vertical="center"/>
    </xf>
    <xf numFmtId="176" fontId="5" fillId="4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176" fontId="6" fillId="4" borderId="2" xfId="0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PRO1 vs PRO2 周达成率PK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"PRO1达成率"</c:f>
              <c:strCache>
                <c:ptCount val="1"/>
                <c:pt idx="0">
                  <c:v>PRO1达成率</c:v>
                </c:pt>
              </c:strCache>
            </c:strRef>
          </c:tx>
          <c:spPr>
            <a:solidFill>
              <a:srgbClr val="3B82F6"/>
            </a:solidFill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周PK数据!$A$2:$A$5</c:f>
              <c:strCache>
                <c:ptCount val="4"/>
                <c:pt idx="0">
                  <c:v>W23 (06/01-06/07)</c:v>
                </c:pt>
                <c:pt idx="1">
                  <c:v>W24 (06/08-06/14)</c:v>
                </c:pt>
                <c:pt idx="2">
                  <c:v>W25 (06/15-06/21)</c:v>
                </c:pt>
                <c:pt idx="3">
                  <c:v>W26 (06/22-06/30)</c:v>
                </c:pt>
              </c:strCache>
            </c:strRef>
          </c:cat>
          <c:val>
            <c:numRef>
              <c:f>周PK数据!$E$2:$E$5</c:f>
              <c:numCache>
                <c:formatCode>0.0%</c:formatCode>
                <c:ptCount val="4"/>
                <c:pt idx="0">
                  <c:v>0.706192307692308</c:v>
                </c:pt>
                <c:pt idx="1">
                  <c:v>0.580552631578947</c:v>
                </c:pt>
                <c:pt idx="2">
                  <c:v>0.520157894736842</c:v>
                </c:pt>
                <c:pt idx="3">
                  <c:v>0.559857142857143</c:v>
                </c:pt>
              </c:numCache>
            </c:numRef>
          </c:val>
        </c:ser>
        <c:ser>
          <c:idx val="1"/>
          <c:order val="1"/>
          <c:tx>
            <c:strRef>
              <c:f>"PRO2达成率"</c:f>
              <c:strCache>
                <c:ptCount val="1"/>
                <c:pt idx="0">
                  <c:v>PRO2达成率</c:v>
                </c:pt>
              </c:strCache>
            </c:strRef>
          </c:tx>
          <c:spPr>
            <a:solidFill>
              <a:srgbClr val="EF4444"/>
            </a:solidFill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周PK数据!$A$2:$A$5</c:f>
              <c:strCache>
                <c:ptCount val="4"/>
                <c:pt idx="0">
                  <c:v>W23 (06/01-06/07)</c:v>
                </c:pt>
                <c:pt idx="1">
                  <c:v>W24 (06/08-06/14)</c:v>
                </c:pt>
                <c:pt idx="2">
                  <c:v>W25 (06/15-06/21)</c:v>
                </c:pt>
                <c:pt idx="3">
                  <c:v>W26 (06/22-06/30)</c:v>
                </c:pt>
              </c:strCache>
            </c:strRef>
          </c:cat>
          <c:val>
            <c:numRef>
              <c:f>周PK数据!$I$2:$I$5</c:f>
              <c:numCache>
                <c:formatCode>0.0%</c:formatCode>
                <c:ptCount val="4"/>
                <c:pt idx="0">
                  <c:v>0.692027777777778</c:v>
                </c:pt>
                <c:pt idx="1">
                  <c:v>0.819877192982456</c:v>
                </c:pt>
                <c:pt idx="2">
                  <c:v>0.880614035087719</c:v>
                </c:pt>
                <c:pt idx="3">
                  <c:v>0.997414473684211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周次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达成率</a:t>
                </a:r>
              </a:p>
            </c:rich>
          </c:tx>
          <c:layout/>
          <c:overlay val="0"/>
        </c:title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176ba62-8f06-410d-aaef-ec91cc964254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5080</xdr:colOff>
      <xdr:row>7</xdr:row>
      <xdr:rowOff>0</xdr:rowOff>
    </xdr:from>
    <xdr:ext cx="10488930" cy="5187315"/>
    <xdr:graphicFrame>
      <xdr:nvGraphicFramePr>
        <xdr:cNvPr id="2" name="Chart 1"/>
        <xdr:cNvGraphicFramePr/>
      </xdr:nvGraphicFramePr>
      <xdr:xfrm>
        <a:off x="5080" y="2305050"/>
        <a:ext cx="10488930" cy="51873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showGridLines="0" tabSelected="1" zoomScale="70" zoomScaleNormal="70" workbookViewId="0">
      <pane ySplit="1" topLeftCell="A2" activePane="bottomLeft" state="frozen"/>
      <selection/>
      <selection pane="bottomLeft" activeCell="N15" sqref="N15"/>
    </sheetView>
  </sheetViews>
  <sheetFormatPr defaultColWidth="9" defaultRowHeight="13.5" outlineLevelRow="5"/>
  <cols>
    <col min="1" max="1" width="22" customWidth="1"/>
    <col min="2" max="2" width="25.3185840707965" customWidth="1"/>
    <col min="3" max="4" width="12" customWidth="1"/>
    <col min="5" max="5" width="14.3185840707965" customWidth="1"/>
    <col min="6" max="6" width="14" hidden="1" customWidth="1"/>
    <col min="7" max="8" width="14" customWidth="1"/>
    <col min="9" max="9" width="14.2212389380531" customWidth="1"/>
    <col min="10" max="10" width="14" hidden="1" customWidth="1"/>
    <col min="11" max="11" width="18.5929203539823" customWidth="1"/>
  </cols>
  <sheetData>
    <row r="1" ht="28" customHeight="1" spans="1:1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</row>
    <row r="2" ht="28" customHeight="1" spans="1:11">
      <c r="A2" s="9" t="s">
        <v>11</v>
      </c>
      <c r="B2" s="9" t="s">
        <v>12</v>
      </c>
      <c r="C2" s="10">
        <v>26000</v>
      </c>
      <c r="D2" s="10">
        <v>18361</v>
      </c>
      <c r="E2" s="11">
        <f>IF(C2=0,0,D2/C2)</f>
        <v>0.706192307692308</v>
      </c>
      <c r="F2" s="12">
        <v>5</v>
      </c>
      <c r="G2" s="10">
        <f>J2*18000</f>
        <v>72000</v>
      </c>
      <c r="H2" s="10">
        <v>49826</v>
      </c>
      <c r="I2" s="11">
        <f>IF(G2=0,0,H2/G2)</f>
        <v>0.692027777777778</v>
      </c>
      <c r="J2" s="12">
        <v>4</v>
      </c>
      <c r="K2" s="13" t="str">
        <f>IF(E2&gt;I2,"🏆 PRO1",IF(E2&lt;I2,"🏆 PRO2","⚔️ 平局"))</f>
        <v>🏆 PRO1</v>
      </c>
    </row>
    <row r="3" ht="28" customHeight="1" spans="1:11">
      <c r="A3" s="14" t="s">
        <v>13</v>
      </c>
      <c r="B3" s="14" t="s">
        <v>14</v>
      </c>
      <c r="C3" s="15">
        <v>38000</v>
      </c>
      <c r="D3" s="15">
        <v>22061</v>
      </c>
      <c r="E3" s="16">
        <f>IF(C3=0,0,D3/C3)</f>
        <v>0.580552631578947</v>
      </c>
      <c r="F3" s="17">
        <v>7</v>
      </c>
      <c r="G3" s="15">
        <f>J3*19000</f>
        <v>114000</v>
      </c>
      <c r="H3" s="15">
        <v>93466</v>
      </c>
      <c r="I3" s="16">
        <f>IF(G3=0,0,H3/G3)</f>
        <v>0.819877192982456</v>
      </c>
      <c r="J3" s="17">
        <v>6</v>
      </c>
      <c r="K3" s="18" t="str">
        <f>IF(E3&gt;I3,"🏆 PRO1",IF(E3&lt;I3,"🏆 PRO2","⚔️ 平局"))</f>
        <v>🏆 PRO2</v>
      </c>
    </row>
    <row r="4" ht="28" customHeight="1" spans="1:11">
      <c r="A4" s="9" t="s">
        <v>15</v>
      </c>
      <c r="B4" s="9" t="s">
        <v>16</v>
      </c>
      <c r="C4" s="10">
        <v>38000</v>
      </c>
      <c r="D4" s="10">
        <v>19766</v>
      </c>
      <c r="E4" s="11">
        <f>IF(C4=0,0,D4/C4)</f>
        <v>0.520157894736842</v>
      </c>
      <c r="F4" s="12">
        <v>7</v>
      </c>
      <c r="G4" s="10">
        <f>J4*19000</f>
        <v>114000</v>
      </c>
      <c r="H4" s="10">
        <v>100390</v>
      </c>
      <c r="I4" s="11">
        <f>IF(G4=0,0,H4/G4)</f>
        <v>0.880614035087719</v>
      </c>
      <c r="J4" s="12">
        <v>6</v>
      </c>
      <c r="K4" s="13" t="str">
        <f>IF(E4&gt;I4,"🏆 PRO1",IF(E4&lt;I4,"🏆 PRO2","⚔️ 平局"))</f>
        <v>🏆 PRO2</v>
      </c>
    </row>
    <row r="5" ht="28" customHeight="1" spans="1:11">
      <c r="A5" s="14" t="s">
        <v>17</v>
      </c>
      <c r="B5" s="14" t="s">
        <v>18</v>
      </c>
      <c r="C5" s="15">
        <v>42000</v>
      </c>
      <c r="D5" s="15">
        <v>23514</v>
      </c>
      <c r="E5" s="16">
        <f>IF(C5=0,0,D5/C5)</f>
        <v>0.559857142857143</v>
      </c>
      <c r="F5" s="17">
        <v>9</v>
      </c>
      <c r="G5" s="15">
        <f>J5*19000</f>
        <v>152000</v>
      </c>
      <c r="H5" s="15">
        <v>151607</v>
      </c>
      <c r="I5" s="16">
        <f>IF(G5=0,0,H5/G5)</f>
        <v>0.997414473684211</v>
      </c>
      <c r="J5" s="17">
        <v>8</v>
      </c>
      <c r="K5" s="18" t="str">
        <f>IF(E5&gt;I5,"🏆 PRO1",IF(E5&lt;I5,"🏆 PRO2","⚔️ 平局"))</f>
        <v>🏆 PRO2</v>
      </c>
    </row>
    <row r="6" ht="28" customHeight="1" spans="1:11">
      <c r="A6" s="19" t="s">
        <v>19</v>
      </c>
      <c r="B6" s="20"/>
      <c r="C6" s="21">
        <f>SUM(C2:C5)</f>
        <v>144000</v>
      </c>
      <c r="D6" s="21">
        <f>SUM(D2:D5)</f>
        <v>83702</v>
      </c>
      <c r="E6" s="22">
        <f>IF(C6=0,0,D6/C6)</f>
        <v>0.581263888888889</v>
      </c>
      <c r="F6" s="23">
        <f>SUM(F2:F5)</f>
        <v>28</v>
      </c>
      <c r="G6" s="21">
        <f>SUM(G2:G5)</f>
        <v>452000</v>
      </c>
      <c r="H6" s="21">
        <f>SUM(H2:H5)</f>
        <v>395289</v>
      </c>
      <c r="I6" s="24">
        <f>IF(G6=0,0,H6/G6)</f>
        <v>0.874533185840708</v>
      </c>
      <c r="J6" s="23">
        <f>SUM(J2:J5)</f>
        <v>24</v>
      </c>
      <c r="K6" s="25" t="str">
        <f>IF(E6&gt;I6,"🏆 PRO1 WIN",IF(E6&lt;I6,"🏆 PRO2 WIN","⚔️ 平局"))</f>
        <v>🏆 PRO2 WIN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5" width="12" customWidth="1"/>
    <col min="6" max="15" width="10" customWidth="1"/>
  </cols>
  <sheetData>
    <row r="1" ht="27.4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2</v>
      </c>
      <c r="M1" s="1" t="s">
        <v>6</v>
      </c>
      <c r="N1" s="1" t="s">
        <v>4</v>
      </c>
      <c r="O1" s="1" t="s">
        <v>8</v>
      </c>
    </row>
    <row r="2" spans="1:15">
      <c r="A2" s="2" t="s">
        <v>31</v>
      </c>
      <c r="B2" s="3">
        <v>0</v>
      </c>
      <c r="C2" s="3">
        <v>0</v>
      </c>
      <c r="D2" s="3">
        <v>0</v>
      </c>
      <c r="E2" s="3">
        <v>0</v>
      </c>
      <c r="F2" s="3">
        <f t="shared" ref="F2:F31" si="0">B2+C2+D2+E2</f>
        <v>0</v>
      </c>
      <c r="G2" s="3">
        <v>0</v>
      </c>
      <c r="H2" s="3">
        <v>0</v>
      </c>
      <c r="I2" s="3">
        <v>0</v>
      </c>
      <c r="J2" s="3">
        <v>0</v>
      </c>
      <c r="K2" s="3">
        <f t="shared" ref="K2:K31" si="1">G2+H2+I2+J2</f>
        <v>0</v>
      </c>
      <c r="L2" s="3">
        <f t="shared" ref="L2:L31" si="2">IF(F2&gt;0,5600,0)</f>
        <v>0</v>
      </c>
      <c r="M2" s="3">
        <f t="shared" ref="M2:M31" si="3">IF(K2&gt;0,20500,0)</f>
        <v>0</v>
      </c>
      <c r="N2" s="4">
        <f t="shared" ref="N2:N31" si="4">IF(L2=0,0,F2/L2)</f>
        <v>0</v>
      </c>
      <c r="O2" s="4">
        <f t="shared" ref="O2:O31" si="5">IF(M2=0,0,K2/M2)</f>
        <v>0</v>
      </c>
    </row>
    <row r="3" spans="1:15">
      <c r="A3" s="5" t="s">
        <v>32</v>
      </c>
      <c r="B3" s="6">
        <v>820</v>
      </c>
      <c r="C3" s="6">
        <v>794</v>
      </c>
      <c r="D3" s="6">
        <v>392</v>
      </c>
      <c r="E3" s="6">
        <v>170</v>
      </c>
      <c r="F3" s="6">
        <f t="shared" si="0"/>
        <v>2176</v>
      </c>
      <c r="G3" s="6">
        <v>1027</v>
      </c>
      <c r="H3" s="6">
        <v>2903</v>
      </c>
      <c r="I3" s="6">
        <v>0</v>
      </c>
      <c r="J3" s="6">
        <v>0</v>
      </c>
      <c r="K3" s="6">
        <f t="shared" si="1"/>
        <v>3930</v>
      </c>
      <c r="L3" s="6">
        <f t="shared" si="2"/>
        <v>5600</v>
      </c>
      <c r="M3" s="6">
        <f t="shared" si="3"/>
        <v>20500</v>
      </c>
      <c r="N3" s="7">
        <f t="shared" si="4"/>
        <v>0.388571428571429</v>
      </c>
      <c r="O3" s="7">
        <f t="shared" si="5"/>
        <v>0.191707317073171</v>
      </c>
    </row>
    <row r="4" spans="1:15">
      <c r="A4" s="2" t="s">
        <v>33</v>
      </c>
      <c r="B4" s="3">
        <v>0</v>
      </c>
      <c r="C4" s="3">
        <v>0</v>
      </c>
      <c r="D4" s="3">
        <v>0</v>
      </c>
      <c r="E4" s="3">
        <v>0</v>
      </c>
      <c r="F4" s="3">
        <f t="shared" si="0"/>
        <v>0</v>
      </c>
      <c r="G4" s="3">
        <v>0</v>
      </c>
      <c r="H4" s="3">
        <v>0</v>
      </c>
      <c r="I4" s="3">
        <v>0</v>
      </c>
      <c r="J4" s="3">
        <v>0</v>
      </c>
      <c r="K4" s="3">
        <f t="shared" si="1"/>
        <v>0</v>
      </c>
      <c r="L4" s="3">
        <f t="shared" si="2"/>
        <v>0</v>
      </c>
      <c r="M4" s="3">
        <f t="shared" si="3"/>
        <v>0</v>
      </c>
      <c r="N4" s="4">
        <f t="shared" si="4"/>
        <v>0</v>
      </c>
      <c r="O4" s="4">
        <f t="shared" si="5"/>
        <v>0</v>
      </c>
    </row>
    <row r="5" spans="1:15">
      <c r="A5" s="5" t="s">
        <v>34</v>
      </c>
      <c r="B5" s="6">
        <v>1419</v>
      </c>
      <c r="C5" s="6">
        <v>1575</v>
      </c>
      <c r="D5" s="6">
        <v>228</v>
      </c>
      <c r="E5" s="6">
        <v>706</v>
      </c>
      <c r="F5" s="6">
        <f t="shared" si="0"/>
        <v>3928</v>
      </c>
      <c r="G5" s="6">
        <v>2399</v>
      </c>
      <c r="H5" s="6">
        <v>6141</v>
      </c>
      <c r="I5" s="6">
        <v>5022</v>
      </c>
      <c r="J5" s="6">
        <v>1215</v>
      </c>
      <c r="K5" s="6">
        <f t="shared" si="1"/>
        <v>14777</v>
      </c>
      <c r="L5" s="6">
        <f t="shared" si="2"/>
        <v>5600</v>
      </c>
      <c r="M5" s="6">
        <f t="shared" si="3"/>
        <v>20500</v>
      </c>
      <c r="N5" s="7">
        <f t="shared" si="4"/>
        <v>0.701428571428571</v>
      </c>
      <c r="O5" s="7">
        <f t="shared" si="5"/>
        <v>0.720829268292683</v>
      </c>
    </row>
    <row r="6" spans="1:15">
      <c r="A6" s="2" t="s">
        <v>35</v>
      </c>
      <c r="B6" s="3">
        <v>1702</v>
      </c>
      <c r="C6" s="3">
        <v>1468</v>
      </c>
      <c r="D6" s="3">
        <v>496</v>
      </c>
      <c r="E6" s="3">
        <v>568</v>
      </c>
      <c r="F6" s="3">
        <f t="shared" si="0"/>
        <v>4234</v>
      </c>
      <c r="G6" s="3">
        <v>3035</v>
      </c>
      <c r="H6" s="3">
        <v>5759</v>
      </c>
      <c r="I6" s="3">
        <v>4967</v>
      </c>
      <c r="J6" s="3">
        <v>1100</v>
      </c>
      <c r="K6" s="3">
        <f t="shared" si="1"/>
        <v>14861</v>
      </c>
      <c r="L6" s="3">
        <f t="shared" si="2"/>
        <v>5600</v>
      </c>
      <c r="M6" s="3">
        <f t="shared" si="3"/>
        <v>20500</v>
      </c>
      <c r="N6" s="4">
        <f t="shared" si="4"/>
        <v>0.756071428571429</v>
      </c>
      <c r="O6" s="4">
        <f t="shared" si="5"/>
        <v>0.724926829268293</v>
      </c>
    </row>
    <row r="7" spans="1:15">
      <c r="A7" s="5" t="s">
        <v>36</v>
      </c>
      <c r="B7" s="6">
        <v>1535</v>
      </c>
      <c r="C7" s="6">
        <v>801</v>
      </c>
      <c r="D7" s="6">
        <v>179</v>
      </c>
      <c r="E7" s="6">
        <v>1000</v>
      </c>
      <c r="F7" s="6">
        <f t="shared" si="0"/>
        <v>3515</v>
      </c>
      <c r="G7" s="6">
        <v>4412</v>
      </c>
      <c r="H7" s="6">
        <v>5704</v>
      </c>
      <c r="I7" s="6">
        <v>4932</v>
      </c>
      <c r="J7" s="6">
        <v>1210</v>
      </c>
      <c r="K7" s="6">
        <f t="shared" si="1"/>
        <v>16258</v>
      </c>
      <c r="L7" s="6">
        <f t="shared" si="2"/>
        <v>5600</v>
      </c>
      <c r="M7" s="6">
        <f t="shared" si="3"/>
        <v>20500</v>
      </c>
      <c r="N7" s="7">
        <f t="shared" si="4"/>
        <v>0.627678571428571</v>
      </c>
      <c r="O7" s="7">
        <f t="shared" si="5"/>
        <v>0.793073170731707</v>
      </c>
    </row>
    <row r="8" spans="1:15">
      <c r="A8" s="2" t="s">
        <v>37</v>
      </c>
      <c r="B8" s="3">
        <v>1738</v>
      </c>
      <c r="C8" s="3">
        <v>1744</v>
      </c>
      <c r="D8" s="3">
        <v>1026</v>
      </c>
      <c r="E8" s="3">
        <v>0</v>
      </c>
      <c r="F8" s="3">
        <f t="shared" si="0"/>
        <v>4508</v>
      </c>
      <c r="G8" s="3">
        <v>0</v>
      </c>
      <c r="H8" s="3">
        <v>0</v>
      </c>
      <c r="I8" s="3">
        <v>0</v>
      </c>
      <c r="J8" s="3">
        <v>0</v>
      </c>
      <c r="K8" s="3">
        <f t="shared" si="1"/>
        <v>0</v>
      </c>
      <c r="L8" s="3">
        <f t="shared" si="2"/>
        <v>5600</v>
      </c>
      <c r="M8" s="3">
        <f t="shared" si="3"/>
        <v>0</v>
      </c>
      <c r="N8" s="4">
        <f t="shared" si="4"/>
        <v>0.805</v>
      </c>
      <c r="O8" s="4">
        <f t="shared" si="5"/>
        <v>0</v>
      </c>
    </row>
    <row r="9" spans="1:15">
      <c r="A9" s="5" t="s">
        <v>38</v>
      </c>
      <c r="B9" s="6">
        <v>1383</v>
      </c>
      <c r="C9" s="6">
        <v>1131</v>
      </c>
      <c r="D9" s="6">
        <v>552</v>
      </c>
      <c r="E9" s="6">
        <v>168</v>
      </c>
      <c r="F9" s="6">
        <f t="shared" si="0"/>
        <v>3234</v>
      </c>
      <c r="G9" s="6">
        <v>4449</v>
      </c>
      <c r="H9" s="6">
        <v>5470</v>
      </c>
      <c r="I9" s="6">
        <v>5760</v>
      </c>
      <c r="J9" s="6">
        <v>1193</v>
      </c>
      <c r="K9" s="6">
        <f t="shared" si="1"/>
        <v>16872</v>
      </c>
      <c r="L9" s="6">
        <f t="shared" si="2"/>
        <v>5600</v>
      </c>
      <c r="M9" s="6">
        <f t="shared" si="3"/>
        <v>20500</v>
      </c>
      <c r="N9" s="7">
        <f t="shared" si="4"/>
        <v>0.5775</v>
      </c>
      <c r="O9" s="7">
        <f t="shared" si="5"/>
        <v>0.823024390243902</v>
      </c>
    </row>
    <row r="10" spans="1:15">
      <c r="A10" s="2" t="s">
        <v>39</v>
      </c>
      <c r="B10" s="3">
        <v>1157</v>
      </c>
      <c r="C10" s="3">
        <v>1591</v>
      </c>
      <c r="D10" s="3">
        <v>555</v>
      </c>
      <c r="E10" s="3">
        <v>285</v>
      </c>
      <c r="F10" s="3">
        <f t="shared" si="0"/>
        <v>3588</v>
      </c>
      <c r="G10" s="3">
        <v>4068</v>
      </c>
      <c r="H10" s="3">
        <v>5631</v>
      </c>
      <c r="I10" s="3">
        <v>5588</v>
      </c>
      <c r="J10" s="3">
        <v>172</v>
      </c>
      <c r="K10" s="3">
        <f t="shared" si="1"/>
        <v>15459</v>
      </c>
      <c r="L10" s="3">
        <f t="shared" si="2"/>
        <v>5600</v>
      </c>
      <c r="M10" s="3">
        <f t="shared" si="3"/>
        <v>20500</v>
      </c>
      <c r="N10" s="4">
        <f t="shared" si="4"/>
        <v>0.640714285714286</v>
      </c>
      <c r="O10" s="4">
        <f t="shared" si="5"/>
        <v>0.75409756097561</v>
      </c>
    </row>
    <row r="11" spans="1:15">
      <c r="A11" s="5" t="s">
        <v>40</v>
      </c>
      <c r="B11" s="6">
        <v>1590</v>
      </c>
      <c r="C11" s="6">
        <v>1774</v>
      </c>
      <c r="D11" s="6">
        <v>500</v>
      </c>
      <c r="E11" s="6">
        <v>228</v>
      </c>
      <c r="F11" s="6">
        <f t="shared" si="0"/>
        <v>4092</v>
      </c>
      <c r="G11" s="6">
        <v>3700</v>
      </c>
      <c r="H11" s="6">
        <v>5773</v>
      </c>
      <c r="I11" s="6">
        <v>5687</v>
      </c>
      <c r="J11" s="6">
        <v>842</v>
      </c>
      <c r="K11" s="6">
        <f t="shared" si="1"/>
        <v>16002</v>
      </c>
      <c r="L11" s="6">
        <f t="shared" si="2"/>
        <v>5600</v>
      </c>
      <c r="M11" s="6">
        <f t="shared" si="3"/>
        <v>20500</v>
      </c>
      <c r="N11" s="7">
        <f t="shared" si="4"/>
        <v>0.730714285714286</v>
      </c>
      <c r="O11" s="7">
        <f t="shared" si="5"/>
        <v>0.780585365853659</v>
      </c>
    </row>
    <row r="12" spans="1:15">
      <c r="A12" s="2" t="s">
        <v>41</v>
      </c>
      <c r="B12" s="3">
        <v>1601</v>
      </c>
      <c r="C12" s="3">
        <v>1613</v>
      </c>
      <c r="D12" s="3">
        <v>600</v>
      </c>
      <c r="E12" s="3">
        <v>402</v>
      </c>
      <c r="F12" s="3">
        <f t="shared" si="0"/>
        <v>4216</v>
      </c>
      <c r="G12" s="3">
        <v>4747</v>
      </c>
      <c r="H12" s="3">
        <v>5775</v>
      </c>
      <c r="I12" s="3">
        <v>5330</v>
      </c>
      <c r="J12" s="3">
        <v>1267</v>
      </c>
      <c r="K12" s="3">
        <f t="shared" si="1"/>
        <v>17119</v>
      </c>
      <c r="L12" s="3">
        <f t="shared" si="2"/>
        <v>5600</v>
      </c>
      <c r="M12" s="3">
        <f t="shared" si="3"/>
        <v>20500</v>
      </c>
      <c r="N12" s="4">
        <f t="shared" si="4"/>
        <v>0.752857142857143</v>
      </c>
      <c r="O12" s="4">
        <f t="shared" si="5"/>
        <v>0.835073170731707</v>
      </c>
    </row>
    <row r="13" spans="1:15">
      <c r="A13" s="5" t="s">
        <v>42</v>
      </c>
      <c r="B13" s="6">
        <v>1202</v>
      </c>
      <c r="C13" s="6">
        <v>0</v>
      </c>
      <c r="D13" s="6">
        <v>0</v>
      </c>
      <c r="E13" s="6">
        <v>382</v>
      </c>
      <c r="F13" s="6">
        <f t="shared" si="0"/>
        <v>1584</v>
      </c>
      <c r="G13" s="6">
        <v>3290</v>
      </c>
      <c r="H13" s="6">
        <v>5191</v>
      </c>
      <c r="I13" s="6">
        <v>6163</v>
      </c>
      <c r="J13" s="6">
        <v>841</v>
      </c>
      <c r="K13" s="6">
        <f t="shared" si="1"/>
        <v>15485</v>
      </c>
      <c r="L13" s="6">
        <f t="shared" si="2"/>
        <v>5600</v>
      </c>
      <c r="M13" s="6">
        <f t="shared" si="3"/>
        <v>20500</v>
      </c>
      <c r="N13" s="7">
        <f t="shared" si="4"/>
        <v>0.282857142857143</v>
      </c>
      <c r="O13" s="7">
        <f t="shared" si="5"/>
        <v>0.755365853658537</v>
      </c>
    </row>
    <row r="14" spans="1:15">
      <c r="A14" s="2" t="s">
        <v>43</v>
      </c>
      <c r="B14" s="3">
        <v>0</v>
      </c>
      <c r="C14" s="3">
        <v>963</v>
      </c>
      <c r="D14" s="3">
        <v>665</v>
      </c>
      <c r="E14" s="3">
        <v>2</v>
      </c>
      <c r="F14" s="3">
        <f t="shared" si="0"/>
        <v>1630</v>
      </c>
      <c r="G14" s="3">
        <v>5156</v>
      </c>
      <c r="H14" s="3">
        <v>4943</v>
      </c>
      <c r="I14" s="3">
        <v>0</v>
      </c>
      <c r="J14" s="3">
        <v>1612</v>
      </c>
      <c r="K14" s="3">
        <f t="shared" si="1"/>
        <v>11711</v>
      </c>
      <c r="L14" s="3">
        <f t="shared" si="2"/>
        <v>5600</v>
      </c>
      <c r="M14" s="3">
        <f t="shared" si="3"/>
        <v>20500</v>
      </c>
      <c r="N14" s="4">
        <f t="shared" si="4"/>
        <v>0.291071428571429</v>
      </c>
      <c r="O14" s="4">
        <f t="shared" si="5"/>
        <v>0.571268292682927</v>
      </c>
    </row>
    <row r="15" spans="1:15">
      <c r="A15" s="5" t="s">
        <v>44</v>
      </c>
      <c r="B15" s="6">
        <v>1312</v>
      </c>
      <c r="C15" s="6">
        <v>1580</v>
      </c>
      <c r="D15" s="6">
        <v>825</v>
      </c>
      <c r="E15" s="6">
        <v>0</v>
      </c>
      <c r="F15" s="6">
        <f t="shared" si="0"/>
        <v>3717</v>
      </c>
      <c r="G15" s="6">
        <v>0</v>
      </c>
      <c r="H15" s="6">
        <v>0</v>
      </c>
      <c r="I15" s="6">
        <v>0</v>
      </c>
      <c r="J15" s="6">
        <v>0</v>
      </c>
      <c r="K15" s="6">
        <f t="shared" si="1"/>
        <v>0</v>
      </c>
      <c r="L15" s="6">
        <f t="shared" si="2"/>
        <v>5600</v>
      </c>
      <c r="M15" s="6">
        <f t="shared" si="3"/>
        <v>0</v>
      </c>
      <c r="N15" s="7">
        <f t="shared" si="4"/>
        <v>0.66375</v>
      </c>
      <c r="O15" s="7">
        <f t="shared" si="5"/>
        <v>0</v>
      </c>
    </row>
    <row r="16" spans="1:15">
      <c r="A16" s="2" t="s">
        <v>45</v>
      </c>
      <c r="B16" s="3">
        <v>0</v>
      </c>
      <c r="C16" s="3">
        <v>354</v>
      </c>
      <c r="D16" s="3">
        <v>586</v>
      </c>
      <c r="E16" s="3">
        <v>855</v>
      </c>
      <c r="F16" s="3">
        <f t="shared" si="0"/>
        <v>1795</v>
      </c>
      <c r="G16" s="3">
        <v>5084</v>
      </c>
      <c r="H16" s="3">
        <v>5808</v>
      </c>
      <c r="I16" s="3">
        <v>4715</v>
      </c>
      <c r="J16" s="3">
        <v>1407</v>
      </c>
      <c r="K16" s="3">
        <f t="shared" si="1"/>
        <v>17014</v>
      </c>
      <c r="L16" s="3">
        <f t="shared" si="2"/>
        <v>5600</v>
      </c>
      <c r="M16" s="3">
        <f t="shared" si="3"/>
        <v>20500</v>
      </c>
      <c r="N16" s="4">
        <f t="shared" si="4"/>
        <v>0.320535714285714</v>
      </c>
      <c r="O16" s="4">
        <f t="shared" si="5"/>
        <v>0.829951219512195</v>
      </c>
    </row>
    <row r="17" spans="1:15">
      <c r="A17" s="5" t="s">
        <v>46</v>
      </c>
      <c r="B17" s="6">
        <v>734</v>
      </c>
      <c r="C17" s="6">
        <v>561</v>
      </c>
      <c r="D17" s="6">
        <v>809</v>
      </c>
      <c r="E17" s="6">
        <v>495</v>
      </c>
      <c r="F17" s="6">
        <f t="shared" si="0"/>
        <v>2599</v>
      </c>
      <c r="G17" s="6">
        <v>4476</v>
      </c>
      <c r="H17" s="6">
        <v>6050</v>
      </c>
      <c r="I17" s="6">
        <v>5699</v>
      </c>
      <c r="J17" s="6">
        <v>1606</v>
      </c>
      <c r="K17" s="6">
        <f t="shared" si="1"/>
        <v>17831</v>
      </c>
      <c r="L17" s="6">
        <f t="shared" si="2"/>
        <v>5600</v>
      </c>
      <c r="M17" s="6">
        <f t="shared" si="3"/>
        <v>20500</v>
      </c>
      <c r="N17" s="7">
        <f t="shared" si="4"/>
        <v>0.464107142857143</v>
      </c>
      <c r="O17" s="7">
        <f t="shared" si="5"/>
        <v>0.86980487804878</v>
      </c>
    </row>
    <row r="18" spans="1:15">
      <c r="A18" s="2" t="s">
        <v>47</v>
      </c>
      <c r="B18" s="3">
        <v>1271</v>
      </c>
      <c r="C18" s="3">
        <v>1461</v>
      </c>
      <c r="D18" s="3">
        <v>575</v>
      </c>
      <c r="E18" s="3">
        <v>600</v>
      </c>
      <c r="F18" s="3">
        <f t="shared" si="0"/>
        <v>3907</v>
      </c>
      <c r="G18" s="3">
        <v>4885</v>
      </c>
      <c r="H18" s="3">
        <v>6267</v>
      </c>
      <c r="I18" s="3">
        <v>5967</v>
      </c>
      <c r="J18" s="3">
        <v>1720</v>
      </c>
      <c r="K18" s="3">
        <f t="shared" si="1"/>
        <v>18839</v>
      </c>
      <c r="L18" s="3">
        <f t="shared" si="2"/>
        <v>5600</v>
      </c>
      <c r="M18" s="3">
        <f t="shared" si="3"/>
        <v>20500</v>
      </c>
      <c r="N18" s="4">
        <f t="shared" si="4"/>
        <v>0.697678571428571</v>
      </c>
      <c r="O18" s="4">
        <f t="shared" si="5"/>
        <v>0.918975609756098</v>
      </c>
    </row>
    <row r="19" spans="1:15">
      <c r="A19" s="5" t="s">
        <v>48</v>
      </c>
      <c r="B19" s="6">
        <v>0</v>
      </c>
      <c r="C19" s="6">
        <v>1275</v>
      </c>
      <c r="D19" s="6">
        <v>521</v>
      </c>
      <c r="E19" s="6">
        <v>340</v>
      </c>
      <c r="F19" s="6">
        <f t="shared" si="0"/>
        <v>2136</v>
      </c>
      <c r="G19" s="6">
        <v>4847</v>
      </c>
      <c r="H19" s="6">
        <v>5879</v>
      </c>
      <c r="I19" s="6">
        <v>5854</v>
      </c>
      <c r="J19" s="6">
        <v>1712</v>
      </c>
      <c r="K19" s="6">
        <f t="shared" si="1"/>
        <v>18292</v>
      </c>
      <c r="L19" s="6">
        <f t="shared" si="2"/>
        <v>5600</v>
      </c>
      <c r="M19" s="6">
        <f t="shared" si="3"/>
        <v>20500</v>
      </c>
      <c r="N19" s="7">
        <f t="shared" si="4"/>
        <v>0.381428571428571</v>
      </c>
      <c r="O19" s="7">
        <f t="shared" si="5"/>
        <v>0.892292682926829</v>
      </c>
    </row>
    <row r="20" spans="1:15">
      <c r="A20" s="2" t="s">
        <v>49</v>
      </c>
      <c r="B20" s="3">
        <v>1550</v>
      </c>
      <c r="C20" s="3">
        <v>1530</v>
      </c>
      <c r="D20" s="3">
        <v>270</v>
      </c>
      <c r="E20" s="3">
        <v>314</v>
      </c>
      <c r="F20" s="3">
        <f t="shared" si="0"/>
        <v>3664</v>
      </c>
      <c r="G20" s="3">
        <v>4072</v>
      </c>
      <c r="H20" s="3">
        <v>4686</v>
      </c>
      <c r="I20" s="3">
        <v>6360</v>
      </c>
      <c r="J20" s="3">
        <v>1223</v>
      </c>
      <c r="K20" s="3">
        <f t="shared" si="1"/>
        <v>16341</v>
      </c>
      <c r="L20" s="3">
        <f t="shared" si="2"/>
        <v>5600</v>
      </c>
      <c r="M20" s="3">
        <f t="shared" si="3"/>
        <v>20500</v>
      </c>
      <c r="N20" s="4">
        <f t="shared" si="4"/>
        <v>0.654285714285714</v>
      </c>
      <c r="O20" s="4">
        <f t="shared" si="5"/>
        <v>0.797121951219512</v>
      </c>
    </row>
    <row r="21" spans="1:15">
      <c r="A21" s="5" t="s">
        <v>50</v>
      </c>
      <c r="B21" s="6">
        <v>1202</v>
      </c>
      <c r="C21" s="6">
        <v>1260</v>
      </c>
      <c r="D21" s="6">
        <v>480</v>
      </c>
      <c r="E21" s="6">
        <v>201</v>
      </c>
      <c r="F21" s="6">
        <f t="shared" si="0"/>
        <v>3143</v>
      </c>
      <c r="G21" s="6">
        <v>5539</v>
      </c>
      <c r="H21" s="6">
        <v>4837</v>
      </c>
      <c r="I21" s="6">
        <v>7</v>
      </c>
      <c r="J21" s="6">
        <v>1690</v>
      </c>
      <c r="K21" s="6">
        <f t="shared" si="1"/>
        <v>12073</v>
      </c>
      <c r="L21" s="6">
        <f t="shared" si="2"/>
        <v>5600</v>
      </c>
      <c r="M21" s="6">
        <f t="shared" si="3"/>
        <v>20500</v>
      </c>
      <c r="N21" s="7">
        <f t="shared" si="4"/>
        <v>0.56125</v>
      </c>
      <c r="O21" s="7">
        <f t="shared" si="5"/>
        <v>0.588926829268293</v>
      </c>
    </row>
    <row r="22" spans="1:15">
      <c r="A22" s="2" t="s">
        <v>51</v>
      </c>
      <c r="B22" s="3">
        <v>0</v>
      </c>
      <c r="C22" s="3">
        <v>1379</v>
      </c>
      <c r="D22" s="3">
        <v>675</v>
      </c>
      <c r="E22" s="3">
        <v>468</v>
      </c>
      <c r="F22" s="3">
        <f t="shared" si="0"/>
        <v>2522</v>
      </c>
      <c r="G22" s="3">
        <v>0</v>
      </c>
      <c r="H22" s="3">
        <v>0</v>
      </c>
      <c r="I22" s="3">
        <v>0</v>
      </c>
      <c r="J22" s="3">
        <v>0</v>
      </c>
      <c r="K22" s="3">
        <f t="shared" si="1"/>
        <v>0</v>
      </c>
      <c r="L22" s="3">
        <f t="shared" si="2"/>
        <v>5600</v>
      </c>
      <c r="M22" s="3">
        <f t="shared" si="3"/>
        <v>0</v>
      </c>
      <c r="N22" s="4">
        <f t="shared" si="4"/>
        <v>0.450357142857143</v>
      </c>
      <c r="O22" s="4">
        <f t="shared" si="5"/>
        <v>0</v>
      </c>
    </row>
    <row r="23" spans="1:15">
      <c r="A23" s="5" t="s">
        <v>52</v>
      </c>
      <c r="B23" s="6">
        <v>0</v>
      </c>
      <c r="C23" s="6">
        <v>1282</v>
      </c>
      <c r="D23" s="6">
        <v>229</v>
      </c>
      <c r="E23" s="6">
        <v>29</v>
      </c>
      <c r="F23" s="6">
        <f t="shared" si="0"/>
        <v>1540</v>
      </c>
      <c r="G23" s="6">
        <v>6236</v>
      </c>
      <c r="H23" s="6">
        <v>7174</v>
      </c>
      <c r="I23" s="6">
        <v>6384</v>
      </c>
      <c r="J23" s="6">
        <v>683</v>
      </c>
      <c r="K23" s="6">
        <f t="shared" si="1"/>
        <v>20477</v>
      </c>
      <c r="L23" s="6">
        <f t="shared" si="2"/>
        <v>5600</v>
      </c>
      <c r="M23" s="6">
        <f t="shared" si="3"/>
        <v>20500</v>
      </c>
      <c r="N23" s="7">
        <f t="shared" si="4"/>
        <v>0.275</v>
      </c>
      <c r="O23" s="7">
        <f t="shared" si="5"/>
        <v>0.998878048780488</v>
      </c>
    </row>
    <row r="24" spans="1:15">
      <c r="A24" s="2" t="s">
        <v>53</v>
      </c>
      <c r="B24" s="3">
        <v>604</v>
      </c>
      <c r="C24" s="3">
        <v>1551</v>
      </c>
      <c r="D24" s="3">
        <v>0</v>
      </c>
      <c r="E24" s="3">
        <v>0</v>
      </c>
      <c r="F24" s="3">
        <f t="shared" si="0"/>
        <v>2155</v>
      </c>
      <c r="G24" s="3">
        <v>5986</v>
      </c>
      <c r="H24" s="3">
        <v>7167</v>
      </c>
      <c r="I24" s="3">
        <v>6392</v>
      </c>
      <c r="J24" s="3">
        <v>1220</v>
      </c>
      <c r="K24" s="3">
        <f t="shared" si="1"/>
        <v>20765</v>
      </c>
      <c r="L24" s="3">
        <f t="shared" si="2"/>
        <v>5600</v>
      </c>
      <c r="M24" s="3">
        <f t="shared" si="3"/>
        <v>20500</v>
      </c>
      <c r="N24" s="4">
        <f t="shared" si="4"/>
        <v>0.384821428571429</v>
      </c>
      <c r="O24" s="4">
        <f t="shared" si="5"/>
        <v>1.01292682926829</v>
      </c>
    </row>
    <row r="25" spans="1:15">
      <c r="A25" s="5" t="s">
        <v>54</v>
      </c>
      <c r="B25" s="6">
        <v>1829</v>
      </c>
      <c r="C25" s="6">
        <v>1419</v>
      </c>
      <c r="D25" s="6">
        <v>476</v>
      </c>
      <c r="E25" s="6">
        <v>0</v>
      </c>
      <c r="F25" s="6">
        <f t="shared" si="0"/>
        <v>3724</v>
      </c>
      <c r="G25" s="6">
        <v>7382</v>
      </c>
      <c r="H25" s="6">
        <v>7676</v>
      </c>
      <c r="I25" s="6">
        <v>5575</v>
      </c>
      <c r="J25" s="6">
        <v>1515</v>
      </c>
      <c r="K25" s="6">
        <f t="shared" si="1"/>
        <v>22148</v>
      </c>
      <c r="L25" s="6">
        <f t="shared" si="2"/>
        <v>5600</v>
      </c>
      <c r="M25" s="6">
        <f t="shared" si="3"/>
        <v>20500</v>
      </c>
      <c r="N25" s="7">
        <f t="shared" si="4"/>
        <v>0.665</v>
      </c>
      <c r="O25" s="7">
        <f t="shared" si="5"/>
        <v>1.08039024390244</v>
      </c>
    </row>
    <row r="26" spans="1:15">
      <c r="A26" s="2" t="s">
        <v>55</v>
      </c>
      <c r="B26" s="3">
        <v>1682</v>
      </c>
      <c r="C26" s="3">
        <v>0</v>
      </c>
      <c r="D26" s="3">
        <v>856</v>
      </c>
      <c r="E26" s="3">
        <v>0</v>
      </c>
      <c r="F26" s="3">
        <f t="shared" si="0"/>
        <v>2538</v>
      </c>
      <c r="G26" s="3">
        <v>6993</v>
      </c>
      <c r="H26" s="3">
        <v>6260</v>
      </c>
      <c r="I26" s="3">
        <v>6491</v>
      </c>
      <c r="J26" s="3">
        <v>1490</v>
      </c>
      <c r="K26" s="3">
        <f t="shared" si="1"/>
        <v>21234</v>
      </c>
      <c r="L26" s="3">
        <f t="shared" si="2"/>
        <v>5600</v>
      </c>
      <c r="M26" s="3">
        <f t="shared" si="3"/>
        <v>20500</v>
      </c>
      <c r="N26" s="4">
        <f t="shared" si="4"/>
        <v>0.453214285714286</v>
      </c>
      <c r="O26" s="4">
        <f t="shared" si="5"/>
        <v>1.03580487804878</v>
      </c>
    </row>
    <row r="27" spans="1:15">
      <c r="A27" s="5" t="s">
        <v>56</v>
      </c>
      <c r="B27" s="6">
        <v>1201</v>
      </c>
      <c r="C27" s="6">
        <v>952</v>
      </c>
      <c r="D27" s="6">
        <v>0</v>
      </c>
      <c r="E27" s="6">
        <v>0</v>
      </c>
      <c r="F27" s="6">
        <f t="shared" si="0"/>
        <v>2153</v>
      </c>
      <c r="G27" s="6">
        <v>4547</v>
      </c>
      <c r="H27" s="6">
        <v>6015</v>
      </c>
      <c r="I27" s="6">
        <v>5428</v>
      </c>
      <c r="J27" s="6">
        <v>1216</v>
      </c>
      <c r="K27" s="6">
        <f t="shared" si="1"/>
        <v>17206</v>
      </c>
      <c r="L27" s="6">
        <f t="shared" si="2"/>
        <v>5600</v>
      </c>
      <c r="M27" s="6">
        <f t="shared" si="3"/>
        <v>20500</v>
      </c>
      <c r="N27" s="7">
        <f t="shared" si="4"/>
        <v>0.384464285714286</v>
      </c>
      <c r="O27" s="7">
        <f t="shared" si="5"/>
        <v>0.839317073170732</v>
      </c>
    </row>
    <row r="28" spans="1:15">
      <c r="A28" s="2" t="s">
        <v>57</v>
      </c>
      <c r="B28" s="3">
        <v>661</v>
      </c>
      <c r="C28" s="3">
        <v>1565</v>
      </c>
      <c r="D28" s="3">
        <v>41</v>
      </c>
      <c r="E28" s="3">
        <v>0</v>
      </c>
      <c r="F28" s="3">
        <f t="shared" si="0"/>
        <v>2267</v>
      </c>
      <c r="G28" s="3">
        <v>4420</v>
      </c>
      <c r="H28" s="3">
        <v>4158</v>
      </c>
      <c r="I28" s="3">
        <v>2596</v>
      </c>
      <c r="J28" s="3">
        <v>1620</v>
      </c>
      <c r="K28" s="3">
        <f t="shared" si="1"/>
        <v>12794</v>
      </c>
      <c r="L28" s="3">
        <f t="shared" si="2"/>
        <v>5600</v>
      </c>
      <c r="M28" s="3">
        <f t="shared" si="3"/>
        <v>20500</v>
      </c>
      <c r="N28" s="4">
        <f t="shared" si="4"/>
        <v>0.404821428571429</v>
      </c>
      <c r="O28" s="4">
        <f t="shared" si="5"/>
        <v>0.62409756097561</v>
      </c>
    </row>
    <row r="29" spans="1:15">
      <c r="A29" s="5" t="s">
        <v>58</v>
      </c>
      <c r="B29" s="6">
        <v>1601</v>
      </c>
      <c r="C29" s="6">
        <v>0</v>
      </c>
      <c r="D29" s="6">
        <v>0</v>
      </c>
      <c r="E29" s="6">
        <v>0</v>
      </c>
      <c r="F29" s="6">
        <f t="shared" si="0"/>
        <v>1601</v>
      </c>
      <c r="G29" s="6">
        <v>0</v>
      </c>
      <c r="H29" s="6">
        <v>0</v>
      </c>
      <c r="I29" s="6">
        <v>0</v>
      </c>
      <c r="J29" s="6">
        <v>0</v>
      </c>
      <c r="K29" s="6">
        <f t="shared" si="1"/>
        <v>0</v>
      </c>
      <c r="L29" s="6">
        <f t="shared" si="2"/>
        <v>5600</v>
      </c>
      <c r="M29" s="6">
        <f t="shared" si="3"/>
        <v>0</v>
      </c>
      <c r="N29" s="7">
        <f t="shared" si="4"/>
        <v>0.285892857142857</v>
      </c>
      <c r="O29" s="7">
        <f t="shared" si="5"/>
        <v>0</v>
      </c>
    </row>
    <row r="30" spans="1:15">
      <c r="A30" s="2" t="s">
        <v>59</v>
      </c>
      <c r="B30" s="3">
        <v>1534</v>
      </c>
      <c r="C30" s="3">
        <v>1574</v>
      </c>
      <c r="D30" s="3">
        <v>693</v>
      </c>
      <c r="E30" s="3">
        <v>0</v>
      </c>
      <c r="F30" s="3">
        <f t="shared" si="0"/>
        <v>3801</v>
      </c>
      <c r="G30" s="3">
        <v>5789</v>
      </c>
      <c r="H30" s="3">
        <v>6249</v>
      </c>
      <c r="I30" s="3">
        <v>5175</v>
      </c>
      <c r="J30" s="3">
        <v>1190</v>
      </c>
      <c r="K30" s="3">
        <f t="shared" si="1"/>
        <v>18403</v>
      </c>
      <c r="L30" s="3">
        <f t="shared" si="2"/>
        <v>5600</v>
      </c>
      <c r="M30" s="3">
        <f t="shared" si="3"/>
        <v>20500</v>
      </c>
      <c r="N30" s="4">
        <f t="shared" si="4"/>
        <v>0.67875</v>
      </c>
      <c r="O30" s="4">
        <f t="shared" si="5"/>
        <v>0.897707317073171</v>
      </c>
    </row>
    <row r="31" spans="1:15">
      <c r="A31" s="5" t="s">
        <v>60</v>
      </c>
      <c r="B31" s="6">
        <v>1633</v>
      </c>
      <c r="C31" s="6">
        <v>1486</v>
      </c>
      <c r="D31" s="6">
        <v>616</v>
      </c>
      <c r="E31" s="6">
        <v>0</v>
      </c>
      <c r="F31" s="6">
        <f t="shared" si="0"/>
        <v>3735</v>
      </c>
      <c r="G31" s="6">
        <v>5965</v>
      </c>
      <c r="H31" s="6">
        <v>6056</v>
      </c>
      <c r="I31" s="6">
        <v>6037</v>
      </c>
      <c r="J31" s="6">
        <v>522</v>
      </c>
      <c r="K31" s="6">
        <f t="shared" si="1"/>
        <v>18580</v>
      </c>
      <c r="L31" s="6">
        <f t="shared" si="2"/>
        <v>5600</v>
      </c>
      <c r="M31" s="6">
        <f t="shared" si="3"/>
        <v>20500</v>
      </c>
      <c r="N31" s="7">
        <f t="shared" si="4"/>
        <v>0.666964285714286</v>
      </c>
      <c r="O31" s="7">
        <f t="shared" si="5"/>
        <v>0.906341463414634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周PK数据</vt:lpstr>
      <vt:lpstr>每日明细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zoom</cp:lastModifiedBy>
  <dcterms:created xsi:type="dcterms:W3CDTF">2026-07-03T05:54:00Z</dcterms:created>
  <dcterms:modified xsi:type="dcterms:W3CDTF">2026-07-03T09:43:45Z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E2F64F97D8DB42E69B9860D472C4EC70_12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